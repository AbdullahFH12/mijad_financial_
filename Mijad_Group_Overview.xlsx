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هيكل" sheetId="1" state="visible" r:id="rId1"/>
    <sheet name="الأنشطة" sheetId="2" state="visible" r:id="rId2"/>
    <sheet name="الملخص المالي" sheetId="3" state="visible" r:id="rId3"/>
    <sheet name="البيانات المطلوب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1F3864"/>
      <sz val="12"/>
    </font>
    <font>
      <name val="Arial"/>
      <color rgb="00C00000"/>
      <sz val="10"/>
    </font>
    <font>
      <name val="Arial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9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 wrapText="1"/>
    </xf>
    <xf numFmtId="164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Model</author>
  </authors>
  <commentList>
    <comment ref="D7" authorId="0" shapeId="0">
      <text>
        <t>أدخل نسبة ملكية مجاد في هذه الشركة (مثال: 60%). لم تُقدَّم النسبة بعد.</t>
      </text>
    </comment>
    <comment ref="D8" authorId="0" shapeId="0">
      <text>
        <t>أدخل نسبة ملكية مجاد في هذه الشركة (مثال: 60%). لم تُقدَّم النسبة بعد.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8" customWidth="1" min="3" max="3"/>
    <col width="16" customWidth="1" min="4" max="4"/>
    <col width="18" customWidth="1" min="5" max="5"/>
    <col width="42" customWidth="1" min="6" max="6"/>
  </cols>
  <sheetData>
    <row r="1">
      <c r="A1" s="1" t="inlineStr">
        <is>
          <t>مجاد القابضة: هيكل المجموعة</t>
        </is>
      </c>
    </row>
    <row r="2">
      <c r="A2" s="2" t="inlineStr">
        <is>
          <t>نظرة مبسطة للإدارة: من نملك، ماذا تعمل كل شركة، وكيف تظهر في حسابات مجاد</t>
        </is>
      </c>
    </row>
    <row r="4" ht="28" customHeight="1">
      <c r="A4" s="3" t="inlineStr">
        <is>
          <t>مجاد (الشركة القابضة): تملك الشركات وتتابع أداءها، وتتحمل تكاليف الإدارة العليا</t>
        </is>
      </c>
    </row>
    <row r="6" ht="30" customHeight="1">
      <c r="A6" s="3" t="inlineStr">
        <is>
          <t>الشركة</t>
        </is>
      </c>
      <c r="B6" s="3" t="inlineStr">
        <is>
          <t>دورها</t>
        </is>
      </c>
      <c r="C6" s="3" t="inlineStr">
        <is>
          <t>الأنشطة الرئيسية</t>
        </is>
      </c>
      <c r="D6" s="3" t="inlineStr">
        <is>
          <t>نسبة ملكية مجاد</t>
        </is>
      </c>
      <c r="E6" s="3" t="inlineStr">
        <is>
          <t>التصنيف (تلقائي)</t>
        </is>
      </c>
      <c r="F6" s="3" t="inlineStr">
        <is>
          <t>كيف تظهر في حسابات مجاد (تلقائي)</t>
        </is>
      </c>
    </row>
    <row r="7" ht="80" customHeight="1">
      <c r="A7" s="4" t="inlineStr">
        <is>
          <t>Sham Cloud</t>
        </is>
      </c>
      <c r="B7" s="5" t="inlineStr">
        <is>
          <t>خدمات مراكز البيانات والبنية التحتية</t>
        </is>
      </c>
      <c r="C7" s="5" t="inlineStr">
        <is>
          <t>• الاستضافة المشتركة (Shared Hosting)
• تأجير مساحة للخوادم (Colocation)
• الاستشارات التقنية
• المشاريع الكبيرة: تأسيس مراكز بيانات لشركات أخرى</t>
        </is>
      </c>
      <c r="D7" s="6" t="n"/>
      <c r="E7" s="7">
        <f>IF(D7="","أدخل النسبة",IF(D7&gt;0.5,"شركة تابعة",IF(D7&gt;=0.2,"شركة زميلة","استثمار مالي")))</f>
        <v/>
      </c>
      <c r="F7" s="8">
        <f>IF(D7="","",IF(D7&gt;0.5,"تُدمج كل إيراداتها ومصاريفها مع مجاد، وتظهر حصة الشركاء الآخرين منفصلة",IF(D7&gt;=0.2,"سطر واحد فقط: حصة مجاد من أرباحها","تُسجَّل كاستثمار بقيمته السوقية")))</f>
        <v/>
      </c>
    </row>
    <row r="8" ht="35" customHeight="1">
      <c r="A8" s="4" t="inlineStr">
        <is>
          <t>Co Tech</t>
        </is>
      </c>
      <c r="B8" s="5" t="inlineStr">
        <is>
          <t>تطوير البرمجيات</t>
        </is>
      </c>
      <c r="C8" s="5" t="inlineStr">
        <is>
          <t>• تطوير البرمجيات (التفاصيل تُستكمل)</t>
        </is>
      </c>
      <c r="D8" s="6" t="n"/>
      <c r="E8" s="7">
        <f>IF(D8="","أدخل النسبة",IF(D8&gt;0.5,"شركة تابعة",IF(D8&gt;=0.2,"شركة زميلة","استثمار مالي")))</f>
        <v/>
      </c>
      <c r="F8" s="8">
        <f>IF(D8="","",IF(D8&gt;0.5,"تُدمج كل إيراداتها ومصاريفها مع مجاد، وتظهر حصة الشركاء الآخرين منفصلة",IF(D8&gt;=0.2,"سطر واحد فقط: حصة مجاد من أرباحها","تُسجَّل كاستثمار بقيمته السوقية")))</f>
        <v/>
      </c>
    </row>
    <row r="11">
      <c r="A11" s="9" t="inlineStr">
        <is>
          <t>قاعدة التصنيف</t>
        </is>
      </c>
    </row>
    <row r="12" ht="30" customHeight="1">
      <c r="A12" s="3" t="inlineStr">
        <is>
          <t>نسبة الملكية</t>
        </is>
      </c>
      <c r="B12" s="3" t="inlineStr">
        <is>
          <t>التصنيف</t>
        </is>
      </c>
      <c r="C12" s="3" t="inlineStr">
        <is>
          <t>المعنى ببساطة</t>
        </is>
      </c>
      <c r="D12" s="10" t="n"/>
      <c r="E12" s="10" t="n"/>
      <c r="F12" s="11" t="n"/>
    </row>
    <row r="13">
      <c r="A13" s="12" t="inlineStr">
        <is>
          <t>أكثر من 50%</t>
        </is>
      </c>
      <c r="B13" s="13" t="inlineStr">
        <is>
          <t>شركة تابعة</t>
        </is>
      </c>
      <c r="C13" s="5" t="inlineStr">
        <is>
          <t>نسيطر عليها، فنعرض أرقامها كاملة وكأنها جزء من مجاد</t>
        </is>
      </c>
    </row>
    <row r="14">
      <c r="A14" s="12" t="inlineStr">
        <is>
          <t>من 20% إلى 50%</t>
        </is>
      </c>
      <c r="B14" s="13" t="inlineStr">
        <is>
          <t>شركة زميلة</t>
        </is>
      </c>
      <c r="C14" s="5" t="inlineStr">
        <is>
          <t>لنا تأثير لا سيطرة، فنعرض حصتنا من ربحها في سطر واحد</t>
        </is>
      </c>
    </row>
    <row r="15">
      <c r="A15" s="12" t="inlineStr">
        <is>
          <t>أقل من 20%</t>
        </is>
      </c>
      <c r="B15" s="13" t="inlineStr">
        <is>
          <t>استثمار مالي</t>
        </is>
      </c>
      <c r="C15" s="5" t="inlineStr">
        <is>
          <t>مجرد استثمار، يُعرض بقيمته</t>
        </is>
      </c>
    </row>
    <row r="17">
      <c r="A17" s="14" t="inlineStr">
        <is>
          <t>ملاحظة: العبرة بالسيطرة الفعلية (مثل تعيين أغلبية مجلس الإدارة) وليس بالنسبة وحدها. يُؤكَّد التصنيف النهائي مع المدقق.</t>
        </is>
      </c>
    </row>
  </sheetData>
  <mergeCells count="5">
    <mergeCell ref="C13:F13"/>
    <mergeCell ref="C12:F12"/>
    <mergeCell ref="C15:F15"/>
    <mergeCell ref="A4:F4"/>
    <mergeCell ref="C14:F14"/>
  </mergeCells>
  <dataValidations count="1">
    <dataValidation sqref="D7:D8" showDropDown="0" showInputMessage="0" showErrorMessage="0" allowBlank="1" error="أدخل نسبة بين 0% و100%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40" customWidth="1" min="4" max="4"/>
    <col width="14" customWidth="1" min="5" max="5"/>
  </cols>
  <sheetData>
    <row r="1">
      <c r="A1" s="1" t="inlineStr">
        <is>
          <t>خطوط الأعمال</t>
        </is>
      </c>
    </row>
    <row r="2">
      <c r="A2" s="2" t="inlineStr">
        <is>
          <t>كل نشاط، وكيف نحصل على الإيراد منه</t>
        </is>
      </c>
    </row>
    <row r="4" ht="30" customHeight="1">
      <c r="A4" s="3" t="inlineStr">
        <is>
          <t>الشركة</t>
        </is>
      </c>
      <c r="B4" s="3" t="inlineStr">
        <is>
          <t>النشاط</t>
        </is>
      </c>
      <c r="C4" s="3" t="inlineStr">
        <is>
          <t>نوع الإيراد</t>
        </is>
      </c>
      <c r="D4" s="3" t="inlineStr">
        <is>
          <t>ما يدفعه العميل</t>
        </is>
      </c>
      <c r="E4" s="3" t="inlineStr">
        <is>
          <t>متكرر؟</t>
        </is>
      </c>
    </row>
    <row r="5" ht="24" customHeight="1">
      <c r="A5" s="13" t="inlineStr">
        <is>
          <t>Sham Cloud</t>
        </is>
      </c>
      <c r="B5" s="5" t="inlineStr">
        <is>
          <t>الاستضافة المشتركة (Shared Hosting)</t>
        </is>
      </c>
      <c r="C5" s="5" t="inlineStr">
        <is>
          <t>اشتراك شهري/سنوي</t>
        </is>
      </c>
      <c r="D5" s="5" t="inlineStr">
        <is>
          <t>باقات استضافة</t>
        </is>
      </c>
      <c r="E5" s="12" t="inlineStr">
        <is>
          <t>نعم</t>
        </is>
      </c>
    </row>
    <row r="6" ht="24" customHeight="1">
      <c r="A6" s="13" t="inlineStr">
        <is>
          <t>Sham Cloud</t>
        </is>
      </c>
      <c r="B6" s="5" t="inlineStr">
        <is>
          <t>تأجير مساحة للخوادم (Colocation)</t>
        </is>
      </c>
      <c r="C6" s="5" t="inlineStr">
        <is>
          <t>إيجار شهري</t>
        </is>
      </c>
      <c r="D6" s="5" t="inlineStr">
        <is>
          <t>سعر لكل وحدة (U) شهرياً</t>
        </is>
      </c>
      <c r="E6" s="12" t="inlineStr">
        <is>
          <t>نعم</t>
        </is>
      </c>
    </row>
    <row r="7" ht="24" customHeight="1">
      <c r="A7" s="13" t="inlineStr">
        <is>
          <t>Sham Cloud</t>
        </is>
      </c>
      <c r="B7" s="5" t="inlineStr">
        <is>
          <t>الاستشارات التقنية</t>
        </is>
      </c>
      <c r="C7" s="5" t="inlineStr">
        <is>
          <t>أتعاب</t>
        </is>
      </c>
      <c r="D7" s="5" t="inlineStr">
        <is>
          <t>حسب الساعة أو المهمة</t>
        </is>
      </c>
      <c r="E7" s="12" t="inlineStr">
        <is>
          <t>لا</t>
        </is>
      </c>
    </row>
    <row r="8" ht="24" customHeight="1">
      <c r="A8" s="13" t="inlineStr">
        <is>
          <t>Sham Cloud</t>
        </is>
      </c>
      <c r="B8" s="5" t="inlineStr">
        <is>
          <t>تأسيس مراكز بيانات لشركات أخرى</t>
        </is>
      </c>
      <c r="C8" s="5" t="inlineStr">
        <is>
          <t>مشروع</t>
        </is>
      </c>
      <c r="D8" s="5" t="inlineStr">
        <is>
          <t>قيمة العقد حسب مراحل التنفيذ</t>
        </is>
      </c>
      <c r="E8" s="12" t="inlineStr">
        <is>
          <t>لا</t>
        </is>
      </c>
    </row>
    <row r="9" ht="24" customHeight="1">
      <c r="A9" s="13" t="inlineStr">
        <is>
          <t>Co Tech</t>
        </is>
      </c>
      <c r="B9" s="5" t="inlineStr">
        <is>
          <t>تطوير البرمجيات</t>
        </is>
      </c>
      <c r="C9" s="5" t="inlineStr">
        <is>
          <t>يُستكمل</t>
        </is>
      </c>
      <c r="D9" s="5" t="inlineStr">
        <is>
          <t>يُستكمل</t>
        </is>
      </c>
      <c r="E9" s="12" t="inlineStr">
        <is>
          <t>يُستكمل</t>
        </is>
      </c>
    </row>
    <row r="11">
      <c r="A11" s="2" t="inlineStr">
        <is>
          <t>الإيراد المتكرر (نعم) يعطي دخلاً ثابتاً، والمشاريع (لا) تعطي دخلاً كبيراً لكنه متقطع.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rightToLeft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الملخص المالي السنوي (بالدولار)</t>
        </is>
      </c>
    </row>
    <row r="2">
      <c r="A2" s="2" t="inlineStr">
        <is>
          <t>أدخل الأرقام في الخلايا الصفراء فقط، والباقي يُحسب تلقائياً</t>
        </is>
      </c>
    </row>
    <row r="4" ht="30" customHeight="1">
      <c r="A4" s="3" t="inlineStr">
        <is>
          <t>البند</t>
        </is>
      </c>
      <c r="B4" s="3" t="inlineStr">
        <is>
          <t>Sham Cloud</t>
        </is>
      </c>
      <c r="C4" s="3" t="inlineStr">
        <is>
          <t>Co Tech</t>
        </is>
      </c>
      <c r="D4" s="3" t="inlineStr">
        <is>
          <t>الإجمالي</t>
        </is>
      </c>
    </row>
    <row r="5">
      <c r="A5" s="4" t="inlineStr">
        <is>
          <t>الإيرادات</t>
        </is>
      </c>
      <c r="B5" s="15" t="n"/>
      <c r="C5" s="15" t="n"/>
      <c r="D5" s="16">
        <f>SUM(B5:C5)</f>
        <v/>
      </c>
    </row>
    <row r="6">
      <c r="A6" s="4" t="inlineStr">
        <is>
          <t>التكاليف</t>
        </is>
      </c>
      <c r="B6" s="15" t="n"/>
      <c r="C6" s="15" t="n"/>
      <c r="D6" s="16">
        <f>SUM(B6:C6)</f>
        <v/>
      </c>
    </row>
    <row r="7">
      <c r="A7" s="4" t="inlineStr">
        <is>
          <t>صافي الربح</t>
        </is>
      </c>
      <c r="B7" s="17">
        <f>B5-B6</f>
        <v/>
      </c>
      <c r="C7" s="17">
        <f>C5-C6</f>
        <v/>
      </c>
      <c r="D7" s="16">
        <f>SUM(B7:C7)</f>
        <v/>
      </c>
    </row>
    <row r="8">
      <c r="A8" s="4" t="inlineStr">
        <is>
          <t>نسبة ملكية مجاد</t>
        </is>
      </c>
      <c r="B8" s="18">
        <f>IF('الهيكل'!D7="","",'الهيكل'!D7)</f>
        <v/>
      </c>
      <c r="C8" s="18">
        <f>IF('الهيكل'!D8="","",'الهيكل'!D8)</f>
        <v/>
      </c>
      <c r="D8" s="12" t="inlineStr"/>
    </row>
    <row r="9">
      <c r="A9" s="4" t="inlineStr">
        <is>
          <t>التصنيف</t>
        </is>
      </c>
      <c r="B9" s="19">
        <f>'الهيكل'!E7</f>
        <v/>
      </c>
      <c r="C9" s="19">
        <f>'الهيكل'!E8</f>
        <v/>
      </c>
      <c r="D9" s="12" t="inlineStr"/>
    </row>
    <row r="10">
      <c r="A10" s="4" t="inlineStr">
        <is>
          <t>حصة مجاد من الربح</t>
        </is>
      </c>
      <c r="B10" s="16">
        <f>IF(B8="",0,B7*B8)</f>
        <v/>
      </c>
      <c r="C10" s="16">
        <f>IF(C8="",0,C7*C8)</f>
        <v/>
      </c>
      <c r="D10" s="16">
        <f>SUM(B10:C10)</f>
        <v/>
      </c>
    </row>
    <row r="12">
      <c r="A12" s="9" t="inlineStr">
        <is>
          <t>مجاد القابضة</t>
        </is>
      </c>
    </row>
    <row r="13">
      <c r="A13" s="4" t="inlineStr">
        <is>
          <t>حصة مجاد من أرباح الشركتين</t>
        </is>
      </c>
      <c r="B13" s="17">
        <f>D10</f>
        <v/>
      </c>
    </row>
    <row r="14">
      <c r="A14" s="4" t="inlineStr">
        <is>
          <t>(-) تكاليف إدارة مجاد القابضة</t>
        </is>
      </c>
      <c r="B14" s="15" t="n"/>
    </row>
    <row r="15">
      <c r="A15" s="20" t="inlineStr">
        <is>
          <t>صافي ربح مجاد</t>
        </is>
      </c>
      <c r="B15" s="21">
        <f>B13-B14</f>
        <v/>
      </c>
    </row>
    <row r="17">
      <c r="A17" s="2" t="inlineStr">
        <is>
          <t>تبسيط: هذا الملخص يعرض حصة مجاد من الربح فقط. القوائم الرسمية تُعرض حسب التصنيف (دمج كامل أو سطر واحد).</t>
        </is>
      </c>
    </row>
    <row r="18">
      <c r="A18" s="2" t="inlineStr">
        <is>
          <t>دليل الألوان: أصفر = مدخل تكتبه · أخضر = مرتبط بورقة أخرى · أسود = محسوب تلقائياً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20" customWidth="1" min="3" max="3"/>
    <col width="14" customWidth="1" min="4" max="4"/>
  </cols>
  <sheetData>
    <row r="1">
      <c r="A1" s="1" t="inlineStr">
        <is>
          <t>البيانات المطلوبة للمرحلة التالية</t>
        </is>
      </c>
    </row>
    <row r="2">
      <c r="A2" s="2" t="inlineStr">
        <is>
          <t>ما نحتاجه لتحويل هذه الورقة إلى نموذج مالي كامل</t>
        </is>
      </c>
    </row>
    <row r="4" ht="30" customHeight="1">
      <c r="A4" s="3" t="inlineStr">
        <is>
          <t>#</t>
        </is>
      </c>
      <c r="B4" s="3" t="inlineStr">
        <is>
          <t>البيان</t>
        </is>
      </c>
      <c r="C4" s="3" t="inlineStr">
        <is>
          <t>المسؤول</t>
        </is>
      </c>
      <c r="D4" s="3" t="inlineStr">
        <is>
          <t>الحالة</t>
        </is>
      </c>
    </row>
    <row r="5">
      <c r="A5" s="12" t="n">
        <v>1</v>
      </c>
      <c r="B5" s="5" t="inlineStr">
        <is>
          <t>نسبة ملكية مجاد في Sham Cloud وCo Tech</t>
        </is>
      </c>
      <c r="C5" s="22" t="n"/>
      <c r="D5" s="12" t="inlineStr">
        <is>
          <t>مطلوب</t>
        </is>
      </c>
    </row>
    <row r="6">
      <c r="A6" s="12" t="n">
        <v>2</v>
      </c>
      <c r="B6" s="5" t="inlineStr">
        <is>
          <t>وجود شركاء آخرين وحقوقهم في مجلس الإدارة</t>
        </is>
      </c>
      <c r="C6" s="22" t="n"/>
      <c r="D6" s="12" t="inlineStr">
        <is>
          <t>مطلوب</t>
        </is>
      </c>
    </row>
    <row r="7">
      <c r="A7" s="12" t="n">
        <v>3</v>
      </c>
      <c r="B7" s="5" t="inlineStr">
        <is>
          <t>القوائم المالية لكل شركة (آخر سنة على الأقل)</t>
        </is>
      </c>
      <c r="C7" s="22" t="n"/>
      <c r="D7" s="12" t="inlineStr">
        <is>
          <t>مطلوب</t>
        </is>
      </c>
    </row>
    <row r="8">
      <c r="A8" s="12" t="n">
        <v>4</v>
      </c>
      <c r="B8" s="5" t="inlineStr">
        <is>
          <t>تفاصيل أنشطة Co Tech ونوع إيراداتها</t>
        </is>
      </c>
      <c r="C8" s="22" t="n"/>
      <c r="D8" s="12" t="inlineStr">
        <is>
          <t>مطلوب</t>
        </is>
      </c>
    </row>
    <row r="9">
      <c r="A9" s="12" t="n">
        <v>5</v>
      </c>
      <c r="B9" s="5" t="inlineStr">
        <is>
          <t>قائمة مشاريع تأسيس مراكز البيانات الحالية والمتوقعة</t>
        </is>
      </c>
      <c r="C9" s="22" t="n"/>
      <c r="D9" s="12" t="inlineStr">
        <is>
          <t>مطلوب</t>
        </is>
      </c>
    </row>
    <row r="10">
      <c r="A10" s="12" t="n">
        <v>6</v>
      </c>
      <c r="B10" s="5" t="inlineStr">
        <is>
          <t>تكاليف إدارة مجاد القابضة (رواتب الإدارة العليا، مكتب...)</t>
        </is>
      </c>
      <c r="C10" s="22" t="n"/>
      <c r="D10" s="12" t="inlineStr">
        <is>
          <t>مطلوب</t>
        </is>
      </c>
    </row>
    <row r="11">
      <c r="A11" s="12" t="n">
        <v>7</v>
      </c>
      <c r="B11" s="5" t="inlineStr">
        <is>
          <t>المعاملات بين الشركات (مثل خدمات تقدمها Sham Cloud لـ Co Tech)</t>
        </is>
      </c>
      <c r="C11" s="22" t="n"/>
      <c r="D11" s="12" t="inlineStr">
        <is>
          <t>مطلوب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2026-09-30T12:24:01Z</dcterms:created>
  <dcterms:modified xsi:type="dcterms:W3CDTF">2026-09-30T12:24:01Z</dcterms:modified>
</cp:coreProperties>
</file>